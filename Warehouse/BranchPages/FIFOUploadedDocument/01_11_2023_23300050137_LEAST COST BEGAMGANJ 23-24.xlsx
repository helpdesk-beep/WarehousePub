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E7434A5-6A5A-4A45-863B-D3ECBAD4AA9E}" xr6:coauthVersionLast="47" xr6:coauthVersionMax="47" xr10:uidLastSave="{00000000-0000-0000-0000-000000000000}"/>
  <bookViews>
    <workbookView xWindow="-120" yWindow="-120" windowWidth="29040" windowHeight="15840" xr2:uid="{C5730627-DBA1-4FE1-9EEC-EA61BB9DB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I20" i="1"/>
  <c r="H20" i="1"/>
  <c r="H19" i="1"/>
  <c r="G20" i="1"/>
  <c r="I19" i="1"/>
  <c r="G19" i="1"/>
  <c r="D19" i="1"/>
  <c r="H18" i="1"/>
  <c r="I18" i="1"/>
  <c r="G18" i="1"/>
  <c r="D18" i="1"/>
  <c r="H17" i="1"/>
  <c r="I17" i="1"/>
  <c r="G17" i="1"/>
  <c r="D17" i="1"/>
  <c r="H16" i="1"/>
  <c r="I16" i="1"/>
  <c r="G16" i="1"/>
  <c r="D16" i="1"/>
  <c r="H15" i="1"/>
  <c r="I15" i="1"/>
  <c r="G15" i="1"/>
  <c r="D15" i="1"/>
  <c r="H14" i="1"/>
  <c r="I14" i="1"/>
  <c r="G14" i="1"/>
  <c r="D14" i="1"/>
  <c r="P13" i="1"/>
  <c r="O13" i="1"/>
  <c r="N13" i="1"/>
  <c r="I13" i="1"/>
  <c r="H13" i="1"/>
  <c r="G13" i="1"/>
  <c r="D13" i="1"/>
  <c r="J14" i="1" l="1"/>
  <c r="K14" i="1" s="1"/>
  <c r="J15" i="1"/>
  <c r="S15" i="1" s="1"/>
  <c r="J13" i="1"/>
  <c r="J19" i="1"/>
  <c r="K19" i="1" s="1"/>
  <c r="J16" i="1"/>
  <c r="K16" i="1" s="1"/>
  <c r="J17" i="1"/>
  <c r="S17" i="1" s="1"/>
  <c r="Q13" i="1"/>
  <c r="R13" i="1" s="1"/>
  <c r="J18" i="1"/>
  <c r="K17" i="1"/>
  <c r="S16" i="1"/>
  <c r="S14" i="1"/>
  <c r="S13" i="1" l="1"/>
  <c r="K15" i="1"/>
  <c r="K13" i="1"/>
  <c r="S18" i="1"/>
  <c r="K18" i="1"/>
  <c r="S19" i="1"/>
  <c r="I12" i="1" l="1"/>
  <c r="H12" i="1"/>
  <c r="G12" i="1"/>
  <c r="D12" i="1"/>
  <c r="I11" i="1"/>
  <c r="H11" i="1"/>
  <c r="G11" i="1"/>
  <c r="D11" i="1"/>
  <c r="I10" i="1"/>
  <c r="H10" i="1"/>
  <c r="G10" i="1"/>
  <c r="D10" i="1"/>
  <c r="I9" i="1"/>
  <c r="H9" i="1"/>
  <c r="G9" i="1"/>
  <c r="D9" i="1"/>
  <c r="P8" i="1"/>
  <c r="O8" i="1"/>
  <c r="N8" i="1"/>
  <c r="I8" i="1"/>
  <c r="H8" i="1"/>
  <c r="G8" i="1"/>
  <c r="D8" i="1"/>
  <c r="P7" i="1"/>
  <c r="O7" i="1"/>
  <c r="N7" i="1"/>
  <c r="I7" i="1"/>
  <c r="H7" i="1"/>
  <c r="G7" i="1"/>
  <c r="D7" i="1"/>
  <c r="P6" i="1"/>
  <c r="O6" i="1"/>
  <c r="N6" i="1"/>
  <c r="I6" i="1"/>
  <c r="H6" i="1"/>
  <c r="G6" i="1"/>
  <c r="D6" i="1"/>
  <c r="I5" i="1"/>
  <c r="H5" i="1"/>
  <c r="G5" i="1"/>
  <c r="D5" i="1"/>
  <c r="I4" i="1"/>
  <c r="H4" i="1"/>
  <c r="G4" i="1"/>
  <c r="D4" i="1"/>
  <c r="I3" i="1"/>
  <c r="H3" i="1"/>
  <c r="G3" i="1"/>
  <c r="D3" i="1"/>
  <c r="J10" i="1" l="1"/>
  <c r="K10" i="1" s="1"/>
  <c r="J12" i="1"/>
  <c r="K12" i="1" s="1"/>
  <c r="Q6" i="1"/>
  <c r="R6" i="1" s="1"/>
  <c r="Q7" i="1"/>
  <c r="R7" i="1" s="1"/>
  <c r="J9" i="1"/>
  <c r="K9" i="1" s="1"/>
  <c r="J4" i="1"/>
  <c r="S4" i="1" s="1"/>
  <c r="J5" i="1"/>
  <c r="K5" i="1" s="1"/>
  <c r="J3" i="1"/>
  <c r="S3" i="1" s="1"/>
  <c r="J7" i="1"/>
  <c r="K7" i="1" s="1"/>
  <c r="J8" i="1"/>
  <c r="K8" i="1" s="1"/>
  <c r="J6" i="1"/>
  <c r="K6" i="1" s="1"/>
  <c r="Q8" i="1"/>
  <c r="R8" i="1" s="1"/>
  <c r="J11" i="1"/>
  <c r="K11" i="1" s="1"/>
  <c r="K4" i="1"/>
  <c r="S9" i="1" l="1"/>
  <c r="S11" i="1"/>
  <c r="S7" i="1"/>
  <c r="S6" i="1"/>
  <c r="K3" i="1"/>
  <c r="S8" i="1"/>
</calcChain>
</file>

<file path=xl/sharedStrings.xml><?xml version="1.0" encoding="utf-8"?>
<sst xmlns="http://schemas.openxmlformats.org/spreadsheetml/2006/main" count="58" uniqueCount="37">
  <si>
    <t>S no</t>
  </si>
  <si>
    <t>ware house</t>
  </si>
  <si>
    <t xml:space="preserve">Quantity can be handled </t>
  </si>
  <si>
    <t>rail head sagar(53%)</t>
  </si>
  <si>
    <t>rail head salamatpur(37%)</t>
  </si>
  <si>
    <t>leastcost</t>
  </si>
  <si>
    <t>Bags</t>
  </si>
  <si>
    <t>weight(qtls)</t>
  </si>
  <si>
    <t>Distance</t>
  </si>
  <si>
    <t>Transportation rate (Per qtls)</t>
  </si>
  <si>
    <t>Warehouse Handling Cost (Bag*2.30*1.53)</t>
  </si>
  <si>
    <t>Transportation Cost (Weight*distance per qtls rate*1.53)</t>
  </si>
  <si>
    <t>Railhead Handling Cost (Bag*1.93*1.53)</t>
  </si>
  <si>
    <t>Total cost</t>
  </si>
  <si>
    <t>Total cost (per mt)</t>
  </si>
  <si>
    <t>Warehouse Handling Cost (Bag*2.09*1.37)</t>
  </si>
  <si>
    <t>Transportation Cost (Weight*distance per qtls rate*1.37)</t>
  </si>
  <si>
    <t>Railhead Handling Cost (Bag*1.75*1.37)</t>
  </si>
  <si>
    <t>rama wh</t>
  </si>
  <si>
    <t>BEYOND 100 KM</t>
  </si>
  <si>
    <t>mpwlc begamganj</t>
  </si>
  <si>
    <t>bahubali wh</t>
  </si>
  <si>
    <t>dishant wh dishant maig dishan grant paloha</t>
  </si>
  <si>
    <t>sakshi, new sakshi wh, khanpur</t>
  </si>
  <si>
    <t>rai, sri ram wh hardaut</t>
  </si>
  <si>
    <t>anu wh fatehpur</t>
  </si>
  <si>
    <t>yashoda,new yashoda wh fatehpur</t>
  </si>
  <si>
    <t>SHANTI WH 03</t>
  </si>
  <si>
    <t>agam wh fatehpur</t>
  </si>
  <si>
    <t>shiv wh</t>
  </si>
  <si>
    <t>bhaju jain fatehpur</t>
  </si>
  <si>
    <t>vaishali wh, sumer</t>
  </si>
  <si>
    <t>kishan wh</t>
  </si>
  <si>
    <t>bhargav wh</t>
  </si>
  <si>
    <t>sri ji wh</t>
  </si>
  <si>
    <t>sri guru,sri guru infra</t>
  </si>
  <si>
    <t>golwar wh panagir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</si>
</sst>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6F82-D1FE-4A7F-926A-08A80DE06F03}">
  <dimension ref="A1:AD20"/>
  <sheetViews>
    <sheetView tabSelected="1" workbookViewId="0">
      <selection activeCell="A13" sqref="A13:XFD13"/>
    </sheetView>
  </sheetViews>
  <sheetFormatPr defaultRowHeight="15" x14ac:dyDescent="0.25"/>
  <cols>
    <col min="1" max="1" width="9.140625" style="21"/>
    <col min="2" max="2" width="24" style="21" customWidth="1"/>
    <col min="3" max="5" width="12.85546875" style="21" customWidth="1"/>
    <col min="6" max="6" width="13.85546875" style="21" customWidth="1"/>
    <col min="7" max="7" width="10.7109375" style="21" customWidth="1"/>
    <col min="8" max="8" width="14.85546875" style="21" bestFit="1" customWidth="1"/>
    <col min="9" max="9" width="9.28515625" style="21" customWidth="1"/>
    <col min="10" max="11" width="12.7109375" style="21" customWidth="1"/>
    <col min="12" max="12" width="9.28515625" style="21" customWidth="1"/>
    <col min="13" max="13" width="9.28515625" style="21" bestFit="1" customWidth="1"/>
    <col min="14" max="14" width="9.85546875" style="21" customWidth="1"/>
    <col min="15" max="15" width="14.5703125" style="21" customWidth="1"/>
    <col min="16" max="16" width="9.85546875" style="21" customWidth="1"/>
    <col min="17" max="17" width="14" style="21" customWidth="1"/>
    <col min="18" max="18" width="12.7109375" style="21" customWidth="1"/>
    <col min="19" max="19" width="24.42578125" style="21" customWidth="1"/>
    <col min="20" max="16384" width="9.140625" style="21"/>
  </cols>
  <sheetData>
    <row r="1" spans="1:30" s="6" customFormat="1" ht="15" customHeight="1" x14ac:dyDescent="0.25">
      <c r="A1" s="1" t="s">
        <v>0</v>
      </c>
      <c r="B1" s="2" t="s">
        <v>1</v>
      </c>
      <c r="C1" s="2" t="s">
        <v>2</v>
      </c>
      <c r="D1" s="2"/>
      <c r="E1" s="3" t="s">
        <v>3</v>
      </c>
      <c r="F1" s="4"/>
      <c r="G1" s="4"/>
      <c r="H1" s="4"/>
      <c r="I1" s="4"/>
      <c r="J1" s="4"/>
      <c r="K1" s="5"/>
      <c r="L1" s="3" t="s">
        <v>4</v>
      </c>
      <c r="M1" s="4"/>
      <c r="N1" s="4"/>
      <c r="O1" s="4"/>
      <c r="P1" s="4"/>
      <c r="Q1" s="4"/>
      <c r="R1" s="5"/>
      <c r="S1" s="2" t="s">
        <v>5</v>
      </c>
    </row>
    <row r="2" spans="1:30" s="6" customFormat="1" ht="90" x14ac:dyDescent="0.25">
      <c r="A2" s="7"/>
      <c r="B2" s="2"/>
      <c r="C2" s="8" t="s">
        <v>6</v>
      </c>
      <c r="D2" s="8" t="s">
        <v>7</v>
      </c>
      <c r="E2" s="9" t="s">
        <v>8</v>
      </c>
      <c r="F2" s="10" t="s">
        <v>9</v>
      </c>
      <c r="G2" s="11" t="s">
        <v>10</v>
      </c>
      <c r="H2" s="11" t="s">
        <v>11</v>
      </c>
      <c r="I2" s="11" t="s">
        <v>12</v>
      </c>
      <c r="J2" s="8" t="s">
        <v>13</v>
      </c>
      <c r="K2" s="10" t="s">
        <v>14</v>
      </c>
      <c r="L2" s="8" t="s">
        <v>8</v>
      </c>
      <c r="M2" s="10" t="s">
        <v>9</v>
      </c>
      <c r="N2" s="11" t="s">
        <v>15</v>
      </c>
      <c r="O2" s="11" t="s">
        <v>16</v>
      </c>
      <c r="P2" s="11" t="s">
        <v>17</v>
      </c>
      <c r="Q2" s="8" t="s">
        <v>13</v>
      </c>
      <c r="R2" s="10" t="s">
        <v>14</v>
      </c>
      <c r="S2" s="2"/>
    </row>
    <row r="3" spans="1:30" s="17" customFormat="1" x14ac:dyDescent="0.25">
      <c r="A3" s="6">
        <v>1</v>
      </c>
      <c r="B3" s="12" t="s">
        <v>18</v>
      </c>
      <c r="C3" s="13">
        <v>53000</v>
      </c>
      <c r="D3" s="13">
        <f t="shared" ref="D3:D10" si="0">C3/2</f>
        <v>26500</v>
      </c>
      <c r="E3" s="12">
        <v>66</v>
      </c>
      <c r="F3" s="6">
        <v>46.25</v>
      </c>
      <c r="G3" s="12">
        <f>53000*2.3*1.53</f>
        <v>186506.99999999997</v>
      </c>
      <c r="H3" s="12">
        <f>26500*F3*1.53</f>
        <v>1875206.25</v>
      </c>
      <c r="I3" s="12">
        <f>53000*1.93*1.53</f>
        <v>156503.70000000001</v>
      </c>
      <c r="J3" s="12">
        <f t="shared" ref="J3:J10" si="1">G3+H3+I3</f>
        <v>2218216.9500000002</v>
      </c>
      <c r="K3" s="13">
        <f t="shared" ref="K3:K10" si="2">J3/2650</f>
        <v>837.0630000000001</v>
      </c>
      <c r="L3" s="14" t="s">
        <v>19</v>
      </c>
      <c r="M3" s="15"/>
      <c r="N3" s="15"/>
      <c r="O3" s="15"/>
      <c r="P3" s="15"/>
      <c r="Q3" s="15"/>
      <c r="R3" s="16"/>
      <c r="S3" s="6" t="str">
        <f t="shared" ref="S3:S10" si="3">IF(MIN(J3,Q3)=J3,$E$1,$L$1)</f>
        <v>rail head sagar(53%)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s="17" customFormat="1" x14ac:dyDescent="0.25">
      <c r="A4" s="6">
        <v>2</v>
      </c>
      <c r="B4" s="12" t="s">
        <v>20</v>
      </c>
      <c r="C4" s="13">
        <v>53000</v>
      </c>
      <c r="D4" s="13">
        <f t="shared" si="0"/>
        <v>26500</v>
      </c>
      <c r="E4" s="6">
        <v>69.8</v>
      </c>
      <c r="F4" s="6">
        <v>47.96</v>
      </c>
      <c r="G4" s="12">
        <f t="shared" ref="G4:G20" si="4">53000*2.3*1.53</f>
        <v>186506.99999999997</v>
      </c>
      <c r="H4" s="12">
        <f t="shared" ref="H4:H12" si="5">26500*F4*1.53</f>
        <v>1944538.2</v>
      </c>
      <c r="I4" s="12">
        <f t="shared" ref="I4:I20" si="6">53000*1.93*1.53</f>
        <v>156503.70000000001</v>
      </c>
      <c r="J4" s="12">
        <f t="shared" si="1"/>
        <v>2287548.9</v>
      </c>
      <c r="K4" s="13">
        <f t="shared" si="2"/>
        <v>863.226</v>
      </c>
      <c r="L4" s="18" t="s">
        <v>19</v>
      </c>
      <c r="M4" s="19"/>
      <c r="N4" s="19"/>
      <c r="O4" s="19"/>
      <c r="P4" s="19"/>
      <c r="Q4" s="19"/>
      <c r="R4" s="20"/>
      <c r="S4" s="6" t="str">
        <f t="shared" si="3"/>
        <v>rail head sagar(53%)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s="17" customFormat="1" x14ac:dyDescent="0.25">
      <c r="A5" s="6">
        <v>3</v>
      </c>
      <c r="B5" s="12" t="s">
        <v>21</v>
      </c>
      <c r="C5" s="13">
        <v>53000</v>
      </c>
      <c r="D5" s="13">
        <f t="shared" si="0"/>
        <v>26500</v>
      </c>
      <c r="E5" s="6">
        <v>71.5</v>
      </c>
      <c r="F5" s="6">
        <v>48.725000000000001</v>
      </c>
      <c r="G5" s="12">
        <f t="shared" si="4"/>
        <v>186506.99999999997</v>
      </c>
      <c r="H5" s="12">
        <f t="shared" si="5"/>
        <v>1975555.125</v>
      </c>
      <c r="I5" s="12">
        <f t="shared" si="6"/>
        <v>156503.70000000001</v>
      </c>
      <c r="J5" s="12">
        <f t="shared" si="1"/>
        <v>2318565.8250000002</v>
      </c>
      <c r="K5" s="13">
        <f t="shared" si="2"/>
        <v>874.93050000000005</v>
      </c>
      <c r="L5" s="18" t="s">
        <v>19</v>
      </c>
      <c r="M5" s="19"/>
      <c r="N5" s="19"/>
      <c r="O5" s="19"/>
      <c r="P5" s="19"/>
      <c r="Q5" s="19"/>
      <c r="R5" s="20"/>
      <c r="S5" s="6" t="s">
        <v>3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s="17" customFormat="1" ht="30" x14ac:dyDescent="0.25">
      <c r="A6" s="6">
        <v>4</v>
      </c>
      <c r="B6" s="12" t="s">
        <v>22</v>
      </c>
      <c r="C6" s="13">
        <v>53000</v>
      </c>
      <c r="D6" s="13">
        <f t="shared" si="0"/>
        <v>26500</v>
      </c>
      <c r="E6" s="6">
        <v>77.099999999999994</v>
      </c>
      <c r="F6" s="6">
        <v>51.244999999999997</v>
      </c>
      <c r="G6" s="12">
        <f t="shared" si="4"/>
        <v>186506.99999999997</v>
      </c>
      <c r="H6" s="12">
        <f t="shared" si="5"/>
        <v>2077728.5250000001</v>
      </c>
      <c r="I6" s="12">
        <f t="shared" si="6"/>
        <v>156503.70000000001</v>
      </c>
      <c r="J6" s="12">
        <f t="shared" si="1"/>
        <v>2420739.2250000001</v>
      </c>
      <c r="K6" s="13">
        <f t="shared" si="2"/>
        <v>913.48650000000009</v>
      </c>
      <c r="L6" s="6">
        <v>95.8</v>
      </c>
      <c r="M6" s="6">
        <v>54.328000000000031</v>
      </c>
      <c r="N6" s="12">
        <f t="shared" ref="N6:N8" si="7">53000*2.09*1.37</f>
        <v>151754.9</v>
      </c>
      <c r="O6" s="12">
        <f t="shared" ref="O6:O13" si="8">26500*M6*1.37</f>
        <v>1972378.0400000014</v>
      </c>
      <c r="P6" s="12">
        <f t="shared" ref="P6:P8" si="9">53000*1.75*1.37</f>
        <v>127067.50000000001</v>
      </c>
      <c r="Q6" s="12">
        <f t="shared" ref="Q6:Q13" si="10">N6+O6+P6</f>
        <v>2251200.4400000013</v>
      </c>
      <c r="R6" s="13">
        <f t="shared" ref="R6:R13" si="11">Q6/2650</f>
        <v>849.50960000000055</v>
      </c>
      <c r="S6" s="6" t="str">
        <f t="shared" si="3"/>
        <v>rail head salamatpur(37%)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s="17" customFormat="1" ht="30" x14ac:dyDescent="0.25">
      <c r="A7" s="6">
        <v>5</v>
      </c>
      <c r="B7" s="12" t="s">
        <v>23</v>
      </c>
      <c r="C7" s="13">
        <v>53000</v>
      </c>
      <c r="D7" s="13">
        <f t="shared" si="0"/>
        <v>26500</v>
      </c>
      <c r="E7" s="6">
        <v>83.4</v>
      </c>
      <c r="F7" s="6">
        <v>54.08</v>
      </c>
      <c r="G7" s="12">
        <f t="shared" si="4"/>
        <v>186506.99999999997</v>
      </c>
      <c r="H7" s="12">
        <f t="shared" si="5"/>
        <v>2192673.6</v>
      </c>
      <c r="I7" s="12">
        <f t="shared" si="6"/>
        <v>156503.70000000001</v>
      </c>
      <c r="J7" s="12">
        <f t="shared" si="1"/>
        <v>2535684.3000000003</v>
      </c>
      <c r="K7" s="13">
        <f t="shared" si="2"/>
        <v>956.86200000000008</v>
      </c>
      <c r="L7" s="6">
        <v>93.9</v>
      </c>
      <c r="M7" s="6">
        <v>53.549000000000021</v>
      </c>
      <c r="N7" s="12">
        <f t="shared" si="7"/>
        <v>151754.9</v>
      </c>
      <c r="O7" s="12">
        <f t="shared" si="8"/>
        <v>1944096.4450000008</v>
      </c>
      <c r="P7" s="12">
        <f t="shared" si="9"/>
        <v>127067.50000000001</v>
      </c>
      <c r="Q7" s="12">
        <f t="shared" si="10"/>
        <v>2222918.8450000007</v>
      </c>
      <c r="R7" s="13">
        <f t="shared" si="11"/>
        <v>838.83730000000025</v>
      </c>
      <c r="S7" s="6" t="str">
        <f t="shared" si="3"/>
        <v>rail head salamatpur(37%)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17" customFormat="1" x14ac:dyDescent="0.25">
      <c r="A8" s="6">
        <v>6</v>
      </c>
      <c r="B8" s="12" t="s">
        <v>24</v>
      </c>
      <c r="C8" s="13">
        <v>53000</v>
      </c>
      <c r="D8" s="13">
        <f t="shared" si="0"/>
        <v>26500</v>
      </c>
      <c r="E8" s="6">
        <v>83.2</v>
      </c>
      <c r="F8" s="6">
        <v>53.99</v>
      </c>
      <c r="G8" s="12">
        <f t="shared" si="4"/>
        <v>186506.99999999997</v>
      </c>
      <c r="H8" s="12">
        <f t="shared" si="5"/>
        <v>2189024.5499999998</v>
      </c>
      <c r="I8" s="12">
        <f t="shared" si="6"/>
        <v>156503.70000000001</v>
      </c>
      <c r="J8" s="12">
        <f t="shared" si="1"/>
        <v>2532035.25</v>
      </c>
      <c r="K8" s="13">
        <f t="shared" si="2"/>
        <v>955.48500000000001</v>
      </c>
      <c r="L8" s="6">
        <v>96.7</v>
      </c>
      <c r="M8" s="6">
        <v>54.697000000000031</v>
      </c>
      <c r="N8" s="12">
        <f t="shared" si="7"/>
        <v>151754.9</v>
      </c>
      <c r="O8" s="12">
        <f t="shared" si="8"/>
        <v>1985774.5850000014</v>
      </c>
      <c r="P8" s="12">
        <f t="shared" si="9"/>
        <v>127067.50000000001</v>
      </c>
      <c r="Q8" s="12">
        <f t="shared" si="10"/>
        <v>2264596.9850000013</v>
      </c>
      <c r="R8" s="13">
        <f t="shared" si="11"/>
        <v>854.56490000000053</v>
      </c>
      <c r="S8" s="6" t="str">
        <f t="shared" si="3"/>
        <v>rail head salamatpur(37%)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s="17" customFormat="1" x14ac:dyDescent="0.25">
      <c r="A9" s="6">
        <v>7</v>
      </c>
      <c r="B9" s="12" t="s">
        <v>25</v>
      </c>
      <c r="C9" s="13">
        <v>53000</v>
      </c>
      <c r="D9" s="13">
        <f t="shared" si="0"/>
        <v>26500</v>
      </c>
      <c r="E9" s="6">
        <v>71.2</v>
      </c>
      <c r="F9" s="6">
        <v>48.59</v>
      </c>
      <c r="G9" s="12">
        <f t="shared" si="4"/>
        <v>186506.99999999997</v>
      </c>
      <c r="H9" s="12">
        <f t="shared" si="5"/>
        <v>1970081.55</v>
      </c>
      <c r="I9" s="12">
        <f t="shared" si="6"/>
        <v>156503.70000000001</v>
      </c>
      <c r="J9" s="12">
        <f t="shared" si="1"/>
        <v>2313092.25</v>
      </c>
      <c r="K9" s="13">
        <f t="shared" si="2"/>
        <v>872.86500000000001</v>
      </c>
      <c r="L9" s="18" t="s">
        <v>19</v>
      </c>
      <c r="M9" s="19"/>
      <c r="N9" s="19"/>
      <c r="O9" s="19"/>
      <c r="P9" s="19"/>
      <c r="Q9" s="19"/>
      <c r="R9" s="20"/>
      <c r="S9" s="6" t="str">
        <f t="shared" si="3"/>
        <v>rail head sagar(53%)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s="17" customFormat="1" ht="30" x14ac:dyDescent="0.25">
      <c r="A10" s="6">
        <v>8</v>
      </c>
      <c r="B10" s="12" t="s">
        <v>26</v>
      </c>
      <c r="C10" s="13">
        <v>53000</v>
      </c>
      <c r="D10" s="13">
        <f t="shared" si="0"/>
        <v>26500</v>
      </c>
      <c r="E10" s="6">
        <v>71.7</v>
      </c>
      <c r="F10" s="6">
        <v>48.814999999999998</v>
      </c>
      <c r="G10" s="12">
        <f t="shared" si="4"/>
        <v>186506.99999999997</v>
      </c>
      <c r="H10" s="12">
        <f t="shared" si="5"/>
        <v>1979204.175</v>
      </c>
      <c r="I10" s="12">
        <f t="shared" si="6"/>
        <v>156503.70000000001</v>
      </c>
      <c r="J10" s="12">
        <f t="shared" si="1"/>
        <v>2322214.875</v>
      </c>
      <c r="K10" s="13">
        <f t="shared" si="2"/>
        <v>876.3075</v>
      </c>
      <c r="L10" s="18" t="s">
        <v>19</v>
      </c>
      <c r="M10" s="19"/>
      <c r="N10" s="19"/>
      <c r="O10" s="19"/>
      <c r="P10" s="19"/>
      <c r="Q10" s="19"/>
      <c r="R10" s="20"/>
      <c r="S10" s="6" t="s">
        <v>3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5">
      <c r="A11" s="6">
        <v>9</v>
      </c>
      <c r="B11" s="12" t="s">
        <v>27</v>
      </c>
      <c r="C11" s="13">
        <v>53000</v>
      </c>
      <c r="D11" s="13">
        <f>C11/2</f>
        <v>26500</v>
      </c>
      <c r="E11" s="6">
        <v>69.5</v>
      </c>
      <c r="F11" s="6">
        <v>47.825000000000003</v>
      </c>
      <c r="G11" s="12">
        <f t="shared" si="4"/>
        <v>186506.99999999997</v>
      </c>
      <c r="H11" s="12">
        <f t="shared" si="5"/>
        <v>1939064.625</v>
      </c>
      <c r="I11" s="12">
        <f t="shared" si="6"/>
        <v>156503.70000000001</v>
      </c>
      <c r="J11" s="12">
        <f>G11+H11+I11</f>
        <v>2282075.3250000002</v>
      </c>
      <c r="K11" s="13">
        <f>J11/2650</f>
        <v>861.16050000000007</v>
      </c>
      <c r="L11" s="18" t="s">
        <v>19</v>
      </c>
      <c r="M11" s="19"/>
      <c r="N11" s="19"/>
      <c r="O11" s="19"/>
      <c r="P11" s="19"/>
      <c r="Q11" s="19"/>
      <c r="R11" s="20"/>
      <c r="S11" s="6" t="str">
        <f>IF(MIN(J11,Q11)=J11,$E$1,$L$1)</f>
        <v>rail head sagar(53%)</v>
      </c>
    </row>
    <row r="12" spans="1:30" x14ac:dyDescent="0.25">
      <c r="A12" s="6">
        <v>10</v>
      </c>
      <c r="B12" s="12" t="s">
        <v>28</v>
      </c>
      <c r="C12" s="13">
        <v>53000</v>
      </c>
      <c r="D12" s="13">
        <f t="shared" ref="D12:D14" si="12">C12/2</f>
        <v>26500</v>
      </c>
      <c r="E12" s="6">
        <v>71.3</v>
      </c>
      <c r="F12" s="6">
        <v>48.634999999999998</v>
      </c>
      <c r="G12" s="12">
        <f t="shared" si="4"/>
        <v>186506.99999999997</v>
      </c>
      <c r="H12" s="12">
        <f t="shared" si="5"/>
        <v>1971906.075</v>
      </c>
      <c r="I12" s="12">
        <f t="shared" si="6"/>
        <v>156503.70000000001</v>
      </c>
      <c r="J12" s="12">
        <f t="shared" ref="J12:J14" si="13">G12+H12+I12</f>
        <v>2314916.7749999999</v>
      </c>
      <c r="K12" s="13">
        <f t="shared" ref="K12:K14" si="14">J12/2650</f>
        <v>873.55349999999999</v>
      </c>
      <c r="L12" s="18" t="s">
        <v>19</v>
      </c>
      <c r="M12" s="19"/>
      <c r="N12" s="19"/>
      <c r="O12" s="19"/>
      <c r="P12" s="19"/>
      <c r="Q12" s="19"/>
      <c r="R12" s="20"/>
      <c r="S12" s="6" t="s">
        <v>3</v>
      </c>
    </row>
    <row r="13" spans="1:30" x14ac:dyDescent="0.25">
      <c r="A13" s="6">
        <v>11</v>
      </c>
      <c r="B13" s="12" t="s">
        <v>29</v>
      </c>
      <c r="C13" s="13">
        <v>53000</v>
      </c>
      <c r="D13" s="13">
        <f t="shared" si="12"/>
        <v>26500</v>
      </c>
      <c r="E13" s="6">
        <v>75.8</v>
      </c>
      <c r="F13" s="6">
        <v>50.66</v>
      </c>
      <c r="G13" s="12">
        <f t="shared" si="4"/>
        <v>186506.99999999997</v>
      </c>
      <c r="H13" s="12">
        <f>26500*F13*1.53</f>
        <v>2054009.7</v>
      </c>
      <c r="I13" s="12">
        <f t="shared" si="6"/>
        <v>156503.70000000001</v>
      </c>
      <c r="J13" s="12">
        <f t="shared" si="13"/>
        <v>2397020.4</v>
      </c>
      <c r="K13" s="22">
        <f t="shared" si="14"/>
        <v>904.53599999999994</v>
      </c>
      <c r="L13" s="6">
        <v>98.2</v>
      </c>
      <c r="M13" s="6">
        <v>55.311999999999998</v>
      </c>
      <c r="N13" s="12">
        <f t="shared" ref="N13:N14" si="15">53000*2.09*1.37</f>
        <v>151754.9</v>
      </c>
      <c r="O13" s="12">
        <f t="shared" ref="O13:O14" si="16">26500*M13*1.37</f>
        <v>2008102.1600000001</v>
      </c>
      <c r="P13" s="12">
        <f t="shared" ref="P13:P14" si="17">53000*1.75*1.37</f>
        <v>127067.50000000001</v>
      </c>
      <c r="Q13" s="12">
        <f t="shared" ref="Q13:Q14" si="18">N13+O13+P13</f>
        <v>2286924.56</v>
      </c>
      <c r="R13" s="22">
        <f t="shared" ref="R13:R14" si="19">Q13/2650</f>
        <v>862.99040000000002</v>
      </c>
      <c r="S13" s="6" t="str">
        <f t="shared" ref="S13:S14" si="20">IF(MIN(J13,Q13)=J13,$E$1,$L$1)</f>
        <v>rail head salamatpur(37%)</v>
      </c>
    </row>
    <row r="14" spans="1:30" x14ac:dyDescent="0.25">
      <c r="A14" s="6">
        <v>12</v>
      </c>
      <c r="B14" s="12" t="s">
        <v>30</v>
      </c>
      <c r="C14" s="13">
        <v>53000</v>
      </c>
      <c r="D14" s="13">
        <f t="shared" si="12"/>
        <v>26500</v>
      </c>
      <c r="E14" s="6">
        <v>73.3</v>
      </c>
      <c r="F14" s="6">
        <v>49.534999999999997</v>
      </c>
      <c r="G14" s="12">
        <f t="shared" si="4"/>
        <v>186506.99999999997</v>
      </c>
      <c r="H14" s="12">
        <f>26500*F14*1.53</f>
        <v>2008396.575</v>
      </c>
      <c r="I14" s="12">
        <f t="shared" si="6"/>
        <v>156503.70000000001</v>
      </c>
      <c r="J14" s="12">
        <f t="shared" si="13"/>
        <v>2351407.2749999999</v>
      </c>
      <c r="K14" s="22">
        <f t="shared" si="14"/>
        <v>887.32349999999997</v>
      </c>
      <c r="L14" s="18" t="s">
        <v>19</v>
      </c>
      <c r="M14" s="19"/>
      <c r="N14" s="19"/>
      <c r="O14" s="19"/>
      <c r="P14" s="19"/>
      <c r="Q14" s="19"/>
      <c r="R14" s="20"/>
      <c r="S14" s="6" t="str">
        <f t="shared" si="20"/>
        <v>rail head sagar(53%)</v>
      </c>
    </row>
    <row r="15" spans="1:30" x14ac:dyDescent="0.25">
      <c r="A15" s="6">
        <v>13</v>
      </c>
      <c r="B15" s="12" t="s">
        <v>31</v>
      </c>
      <c r="C15" s="13">
        <v>53000</v>
      </c>
      <c r="D15" s="13">
        <f>C15/2</f>
        <v>26500</v>
      </c>
      <c r="E15" s="12">
        <v>65.099999999999994</v>
      </c>
      <c r="F15" s="6">
        <v>45.844999999999999</v>
      </c>
      <c r="G15" s="12">
        <f t="shared" si="4"/>
        <v>186506.99999999997</v>
      </c>
      <c r="H15" s="12">
        <f>26500*F15*1.53</f>
        <v>1858785.5250000001</v>
      </c>
      <c r="I15" s="12">
        <f t="shared" si="6"/>
        <v>156503.70000000001</v>
      </c>
      <c r="J15" s="12">
        <f>G15+H15+I15</f>
        <v>2201796.2250000001</v>
      </c>
      <c r="K15" s="22">
        <f>J15/2650</f>
        <v>830.86650000000009</v>
      </c>
      <c r="L15" s="14" t="s">
        <v>19</v>
      </c>
      <c r="M15" s="15"/>
      <c r="N15" s="15"/>
      <c r="O15" s="15"/>
      <c r="P15" s="15"/>
      <c r="Q15" s="15"/>
      <c r="R15" s="16"/>
      <c r="S15" s="6" t="str">
        <f>IF(MIN(J15,Q15)=J15,$E$1,$L$1)</f>
        <v>rail head sagar(53%)</v>
      </c>
    </row>
    <row r="16" spans="1:30" x14ac:dyDescent="0.25">
      <c r="A16" s="6">
        <v>14</v>
      </c>
      <c r="B16" s="12" t="s">
        <v>32</v>
      </c>
      <c r="C16" s="13">
        <v>53000</v>
      </c>
      <c r="D16" s="13">
        <f t="shared" ref="D16:D18" si="21">C16/2</f>
        <v>26500</v>
      </c>
      <c r="E16" s="12">
        <v>66</v>
      </c>
      <c r="F16" s="6">
        <v>46.25</v>
      </c>
      <c r="G16" s="12">
        <f t="shared" si="4"/>
        <v>186506.99999999997</v>
      </c>
      <c r="H16" s="12">
        <f>26500*F16*1.53</f>
        <v>1875206.25</v>
      </c>
      <c r="I16" s="12">
        <f t="shared" si="6"/>
        <v>156503.70000000001</v>
      </c>
      <c r="J16" s="12">
        <f t="shared" ref="J16:J18" si="22">G16+H16+I16</f>
        <v>2218216.9500000002</v>
      </c>
      <c r="K16" s="22">
        <f t="shared" ref="K16:K18" si="23">J16/2650</f>
        <v>837.0630000000001</v>
      </c>
      <c r="L16" s="14" t="s">
        <v>19</v>
      </c>
      <c r="M16" s="15"/>
      <c r="N16" s="15"/>
      <c r="O16" s="15"/>
      <c r="P16" s="15"/>
      <c r="Q16" s="15"/>
      <c r="R16" s="16"/>
      <c r="S16" s="6" t="str">
        <f t="shared" ref="S16:S18" si="24">IF(MIN(J16,Q16)=J16,$E$1,$L$1)</f>
        <v>rail head sagar(53%)</v>
      </c>
    </row>
    <row r="17" spans="1:19" x14ac:dyDescent="0.25">
      <c r="A17" s="6">
        <v>15</v>
      </c>
      <c r="B17" s="12" t="s">
        <v>33</v>
      </c>
      <c r="C17" s="13">
        <v>53000</v>
      </c>
      <c r="D17" s="13">
        <f t="shared" si="21"/>
        <v>26500</v>
      </c>
      <c r="E17" s="6">
        <v>74.099999999999994</v>
      </c>
      <c r="F17" s="6">
        <v>49.895000000000003</v>
      </c>
      <c r="G17" s="12">
        <f t="shared" si="4"/>
        <v>186506.99999999997</v>
      </c>
      <c r="H17" s="12">
        <f>26500*F17*1.53</f>
        <v>2022992.7750000001</v>
      </c>
      <c r="I17" s="12">
        <f t="shared" si="6"/>
        <v>156503.70000000001</v>
      </c>
      <c r="J17" s="12">
        <f t="shared" si="22"/>
        <v>2366003.4750000001</v>
      </c>
      <c r="K17" s="22">
        <f t="shared" si="23"/>
        <v>892.83150000000001</v>
      </c>
      <c r="L17" s="18" t="s">
        <v>19</v>
      </c>
      <c r="M17" s="19"/>
      <c r="N17" s="19"/>
      <c r="O17" s="19"/>
      <c r="P17" s="19"/>
      <c r="Q17" s="19"/>
      <c r="R17" s="20"/>
      <c r="S17" s="6" t="str">
        <f t="shared" si="24"/>
        <v>rail head sagar(53%)</v>
      </c>
    </row>
    <row r="18" spans="1:19" x14ac:dyDescent="0.25">
      <c r="A18" s="6">
        <v>16</v>
      </c>
      <c r="B18" s="12" t="s">
        <v>34</v>
      </c>
      <c r="C18" s="13">
        <v>53000</v>
      </c>
      <c r="D18" s="13">
        <f t="shared" si="21"/>
        <v>26500</v>
      </c>
      <c r="E18" s="6">
        <v>81</v>
      </c>
      <c r="F18" s="6">
        <v>53</v>
      </c>
      <c r="G18" s="12">
        <f t="shared" si="4"/>
        <v>186506.99999999997</v>
      </c>
      <c r="H18" s="12">
        <f>26500*F18*1.53</f>
        <v>2148885</v>
      </c>
      <c r="I18" s="12">
        <f t="shared" si="6"/>
        <v>156503.70000000001</v>
      </c>
      <c r="J18" s="12">
        <f t="shared" si="22"/>
        <v>2491895.7000000002</v>
      </c>
      <c r="K18" s="22">
        <f t="shared" si="23"/>
        <v>940.33800000000008</v>
      </c>
      <c r="L18" s="18" t="s">
        <v>19</v>
      </c>
      <c r="M18" s="19"/>
      <c r="N18" s="19"/>
      <c r="O18" s="19"/>
      <c r="P18" s="19"/>
      <c r="Q18" s="19"/>
      <c r="R18" s="20"/>
      <c r="S18" s="6" t="str">
        <f t="shared" si="24"/>
        <v>rail head sagar(53%)</v>
      </c>
    </row>
    <row r="19" spans="1:19" x14ac:dyDescent="0.25">
      <c r="A19" s="6">
        <v>17</v>
      </c>
      <c r="B19" s="12" t="s">
        <v>35</v>
      </c>
      <c r="C19" s="13">
        <v>53000</v>
      </c>
      <c r="D19" s="13">
        <f t="shared" ref="D19" si="25">C19/2</f>
        <v>26500</v>
      </c>
      <c r="E19" s="6">
        <v>63.8</v>
      </c>
      <c r="F19" s="6">
        <v>45.26</v>
      </c>
      <c r="G19" s="12">
        <f t="shared" si="4"/>
        <v>186506.99999999997</v>
      </c>
      <c r="H19" s="12">
        <f>26500*F19*1.53</f>
        <v>1835066.7</v>
      </c>
      <c r="I19" s="12">
        <f t="shared" si="6"/>
        <v>156503.70000000001</v>
      </c>
      <c r="J19" s="12">
        <f t="shared" ref="J19:J20" si="26">G19+H19+I19</f>
        <v>2178077.4</v>
      </c>
      <c r="K19" s="22">
        <f t="shared" ref="K19" si="27">J19/2650</f>
        <v>821.91599999999994</v>
      </c>
      <c r="L19" s="18" t="s">
        <v>19</v>
      </c>
      <c r="M19" s="19"/>
      <c r="N19" s="19"/>
      <c r="O19" s="19"/>
      <c r="P19" s="19"/>
      <c r="Q19" s="19"/>
      <c r="R19" s="20"/>
      <c r="S19" s="6" t="str">
        <f t="shared" ref="S19" si="28">IF(MIN(J19,Q19)=J19,$E$1,$L$1)</f>
        <v>rail head sagar(53%)</v>
      </c>
    </row>
    <row r="20" spans="1:19" x14ac:dyDescent="0.25">
      <c r="A20" s="6">
        <v>18</v>
      </c>
      <c r="B20" s="12" t="s">
        <v>36</v>
      </c>
      <c r="C20" s="21">
        <v>53000</v>
      </c>
      <c r="D20" s="21">
        <v>26500</v>
      </c>
      <c r="E20" s="21">
        <v>72.400000000000006</v>
      </c>
      <c r="F20" s="21">
        <v>49.13</v>
      </c>
      <c r="G20" s="12">
        <f t="shared" si="4"/>
        <v>186506.99999999997</v>
      </c>
      <c r="H20" s="12">
        <f>26500*F20*1.53</f>
        <v>1991975.85</v>
      </c>
      <c r="I20" s="12">
        <f t="shared" si="6"/>
        <v>156503.70000000001</v>
      </c>
      <c r="J20" s="12">
        <f t="shared" si="26"/>
        <v>2334986.5500000003</v>
      </c>
      <c r="K20" s="21">
        <v>817.65840000000026</v>
      </c>
      <c r="L20" s="18" t="s">
        <v>19</v>
      </c>
      <c r="M20" s="19"/>
      <c r="N20" s="19"/>
      <c r="O20" s="19"/>
      <c r="P20" s="19"/>
      <c r="Q20" s="19"/>
      <c r="R20" s="20"/>
      <c r="S20" s="21" t="s">
        <v>3</v>
      </c>
    </row>
  </sheetData>
  <mergeCells count="20">
    <mergeCell ref="L12:R12"/>
    <mergeCell ref="L15:R15"/>
    <mergeCell ref="L16:R16"/>
    <mergeCell ref="L17:R17"/>
    <mergeCell ref="L19:R19"/>
    <mergeCell ref="L20:R20"/>
    <mergeCell ref="L14:R14"/>
    <mergeCell ref="L18:R18"/>
    <mergeCell ref="L3:R3"/>
    <mergeCell ref="L4:R4"/>
    <mergeCell ref="L5:R5"/>
    <mergeCell ref="L9:R9"/>
    <mergeCell ref="L10:R10"/>
    <mergeCell ref="L11:R11"/>
    <mergeCell ref="A1:A2"/>
    <mergeCell ref="B1:B2"/>
    <mergeCell ref="C1:D1"/>
    <mergeCell ref="E1:K1"/>
    <mergeCell ref="L1:R1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2023-07-27T07:39:32Z</dcterms:created>
  <dcterms:modified xsi:type="dcterms:W3CDTF">2023-07-27T12:35:04Z</dcterms:modified>
</cp:coreProperties>
</file>